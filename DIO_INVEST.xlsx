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dod\Desktop\EXCEL-CLAUDE\"/>
    </mc:Choice>
  </mc:AlternateContent>
  <xr:revisionPtr revIDLastSave="0" documentId="13_ncr:1_{A028CA27-95D6-4D79-AE08-A768F0AE76C9}" xr6:coauthVersionLast="47" xr6:coauthVersionMax="47" xr10:uidLastSave="{00000000-0000-0000-0000-000000000000}"/>
  <bookViews>
    <workbookView xWindow="-120" yWindow="-120" windowWidth="20730" windowHeight="11160" tabRatio="731" xr2:uid="{7DBFCCB3-CCB0-4609-8990-973C0F9DBE37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D40" i="1" s="1"/>
  <c r="C41" i="1"/>
  <c r="C36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37" i="1" s="1"/>
  <c r="D14" i="1"/>
  <c r="D20" i="1"/>
  <c r="D21" i="1" s="1"/>
  <c r="C25" i="1"/>
  <c r="D25" i="1" s="1"/>
  <c r="C26" i="1"/>
  <c r="D26" i="1" s="1"/>
  <c r="C27" i="1"/>
  <c r="D27" i="1" s="1"/>
  <c r="C28" i="1"/>
  <c r="D28" i="1" s="1"/>
  <c r="C24" i="1"/>
  <c r="D24" i="1" s="1"/>
  <c r="D39" i="1" l="1"/>
  <c r="D38" i="1"/>
  <c r="D36" i="1"/>
  <c r="D41" i="1"/>
  <c r="D42" i="1" l="1"/>
</calcChain>
</file>

<file path=xl/sharedStrings.xml><?xml version="1.0" encoding="utf-8"?>
<sst xmlns="http://schemas.openxmlformats.org/spreadsheetml/2006/main" count="70" uniqueCount="34">
  <si>
    <t>Quanto investir por mês?</t>
  </si>
  <si>
    <t>Por quantos anos?</t>
  </si>
  <si>
    <t>Taxa de rendimento mensal?</t>
  </si>
  <si>
    <t>Dividendos mensais?</t>
  </si>
  <si>
    <t>Patrimônio acumulado?</t>
  </si>
  <si>
    <t>INVESTIMENTO MENSAL</t>
  </si>
  <si>
    <t>Quanto em 2 anos?</t>
  </si>
  <si>
    <t>Quanto em 10 anos?</t>
  </si>
  <si>
    <t>Quanto em 20 anos?</t>
  </si>
  <si>
    <t>Quanto em 30 anos?</t>
  </si>
  <si>
    <t>Quanto em 5 anos?</t>
  </si>
  <si>
    <t>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</si>
  <si>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</si>
  <si>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</si>
  <si>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</si>
  <si>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</si>
  <si>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</si>
  <si>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</si>
  <si>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</si>
  <si>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</si>
  <si>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</si>
  <si>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</si>
  <si>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Valores</t>
  </si>
  <si>
    <t>Percentual Sugerido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</si>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</sst>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16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9" fontId="0" fillId="0" borderId="0" xfId="0" applyNumberFormat="1"/>
    <xf numFmtId="0" fontId="0" fillId="0" borderId="0" xfId="0" applyAlignment="1"/>
    <xf numFmtId="0" fontId="6" fillId="5" borderId="2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vertical="center"/>
    </xf>
    <xf numFmtId="0" fontId="10" fillId="4" borderId="8" xfId="0" applyFont="1" applyFill="1" applyBorder="1" applyAlignment="1">
      <alignment horizontal="left" indent="3"/>
    </xf>
    <xf numFmtId="0" fontId="10" fillId="4" borderId="11" xfId="0" applyFont="1" applyFill="1" applyBorder="1" applyAlignment="1">
      <alignment horizontal="left" indent="3"/>
    </xf>
    <xf numFmtId="166" fontId="10" fillId="0" borderId="9" xfId="1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left" indent="3"/>
    </xf>
    <xf numFmtId="0" fontId="10" fillId="4" borderId="12" xfId="0" applyFont="1" applyFill="1" applyBorder="1" applyAlignment="1">
      <alignment horizontal="left" indent="3"/>
    </xf>
    <xf numFmtId="10" fontId="10" fillId="0" borderId="4" xfId="0" applyNumberFormat="1" applyFont="1" applyBorder="1" applyAlignment="1">
      <alignment horizontal="center"/>
    </xf>
    <xf numFmtId="0" fontId="10" fillId="4" borderId="5" xfId="0" applyFont="1" applyFill="1" applyBorder="1" applyAlignment="1">
      <alignment horizontal="left" indent="3"/>
    </xf>
    <xf numFmtId="0" fontId="10" fillId="4" borderId="13" xfId="0" applyFont="1" applyFill="1" applyBorder="1" applyAlignment="1">
      <alignment horizontal="left" indent="3"/>
    </xf>
    <xf numFmtId="0" fontId="10" fillId="0" borderId="14" xfId="0" applyFont="1" applyBorder="1" applyAlignment="1">
      <alignment horizontal="left" indent="3"/>
    </xf>
    <xf numFmtId="0" fontId="10" fillId="0" borderId="15" xfId="0" applyFont="1" applyBorder="1" applyAlignment="1">
      <alignment horizontal="left" indent="3"/>
    </xf>
    <xf numFmtId="0" fontId="11" fillId="0" borderId="16" xfId="0" applyFont="1" applyBorder="1" applyAlignment="1">
      <alignment horizontal="center"/>
    </xf>
    <xf numFmtId="10" fontId="11" fillId="0" borderId="16" xfId="2" applyNumberFormat="1" applyFont="1" applyBorder="1" applyAlignment="1">
      <alignment horizontal="center"/>
    </xf>
    <xf numFmtId="0" fontId="12" fillId="4" borderId="14" xfId="0" applyFont="1" applyFill="1" applyBorder="1" applyAlignment="1">
      <alignment horizontal="left" indent="3"/>
    </xf>
    <xf numFmtId="0" fontId="12" fillId="4" borderId="15" xfId="0" applyFont="1" applyFill="1" applyBorder="1" applyAlignment="1">
      <alignment horizontal="left" indent="3"/>
    </xf>
    <xf numFmtId="8" fontId="11" fillId="4" borderId="16" xfId="0" applyNumberFormat="1" applyFont="1" applyFill="1" applyBorder="1" applyAlignment="1">
      <alignment horizontal="center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8" fontId="11" fillId="4" borderId="19" xfId="0" applyNumberFormat="1" applyFont="1" applyFill="1" applyBorder="1" applyAlignment="1">
      <alignment horizontal="center"/>
    </xf>
    <xf numFmtId="0" fontId="10" fillId="4" borderId="8" xfId="0" applyFont="1" applyFill="1" applyBorder="1" applyAlignment="1">
      <alignment horizontal="left" indent="3"/>
    </xf>
    <xf numFmtId="166" fontId="13" fillId="4" borderId="11" xfId="0" applyNumberFormat="1" applyFont="1" applyFill="1" applyBorder="1" applyAlignment="1">
      <alignment horizontal="center"/>
    </xf>
    <xf numFmtId="166" fontId="13" fillId="4" borderId="9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indent="3"/>
    </xf>
    <xf numFmtId="166" fontId="13" fillId="4" borderId="12" xfId="0" applyNumberFormat="1" applyFont="1" applyFill="1" applyBorder="1" applyAlignment="1">
      <alignment horizontal="center"/>
    </xf>
    <xf numFmtId="166" fontId="13" fillId="4" borderId="4" xfId="0" applyNumberFormat="1" applyFont="1" applyFill="1" applyBorder="1" applyAlignment="1">
      <alignment horizontal="center"/>
    </xf>
    <xf numFmtId="0" fontId="10" fillId="4" borderId="5" xfId="0" applyFont="1" applyFill="1" applyBorder="1" applyAlignment="1">
      <alignment horizontal="left" indent="3"/>
    </xf>
    <xf numFmtId="166" fontId="13" fillId="4" borderId="13" xfId="0" applyNumberFormat="1" applyFont="1" applyFill="1" applyBorder="1" applyAlignment="1">
      <alignment horizontal="center"/>
    </xf>
    <xf numFmtId="166" fontId="13" fillId="4" borderId="6" xfId="0" applyNumberFormat="1" applyFont="1" applyFill="1" applyBorder="1" applyAlignment="1">
      <alignment horizontal="center"/>
    </xf>
    <xf numFmtId="0" fontId="2" fillId="2" borderId="0" xfId="3"/>
    <xf numFmtId="166" fontId="0" fillId="0" borderId="0" xfId="0" applyNumberFormat="1"/>
    <xf numFmtId="0" fontId="0" fillId="6" borderId="0" xfId="0" applyFill="1"/>
    <xf numFmtId="166" fontId="0" fillId="6" borderId="0" xfId="0" applyNumberFormat="1" applyFill="1"/>
    <xf numFmtId="0" fontId="3" fillId="6" borderId="0" xfId="0" applyFont="1" applyFill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7" xfId="0" applyNumberFormat="1" applyBorder="1" applyAlignment="1">
      <alignment horizontal="center"/>
    </xf>
    <xf numFmtId="9" fontId="2" fillId="2" borderId="0" xfId="2" applyFont="1" applyFill="1"/>
    <xf numFmtId="166" fontId="0" fillId="0" borderId="0" xfId="0" applyNumberFormat="1" applyAlignment="1">
      <alignment horizontal="center"/>
    </xf>
    <xf numFmtId="0" fontId="8" fillId="3" borderId="20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vertical="center"/>
    </xf>
    <xf numFmtId="166" fontId="11" fillId="0" borderId="16" xfId="1" applyNumberFormat="1" applyFont="1" applyBorder="1" applyAlignment="1">
      <alignment horizontal="center"/>
    </xf>
    <xf numFmtId="166" fontId="10" fillId="4" borderId="6" xfId="0" applyNumberFormat="1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9-4C2B-8944-6C90D8DB0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457199</xdr:colOff>
      <xdr:row>0</xdr:row>
      <xdr:rowOff>95251</xdr:rowOff>
    </xdr:from>
    <xdr:to>
      <xdr:col>4</xdr:col>
      <xdr:colOff>95249</xdr:colOff>
      <xdr:row>9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27D5E9-1676-4E05-AAA1-673F29B258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2152"/>
        <a:stretch>
          <a:fillRect/>
        </a:stretch>
      </xdr:blipFill>
      <xdr:spPr>
        <a:xfrm>
          <a:off x="457199" y="95251"/>
          <a:ext cx="6677025" cy="1638300"/>
        </a:xfrm>
        <a:prstGeom prst="rect">
          <a:avLst/>
        </a:prstGeom>
      </xdr:spPr>
    </xdr:pic>
    <xdr:clientData/>
  </xdr:twoCellAnchor>
  <xdr:twoCellAnchor>
    <xdr:from>
      <xdr:col>1</xdr:col>
      <xdr:colOff>323851</xdr:colOff>
      <xdr:row>42</xdr:row>
      <xdr:rowOff>57150</xdr:rowOff>
    </xdr:from>
    <xdr:to>
      <xdr:col>3</xdr:col>
      <xdr:colOff>638175</xdr:colOff>
      <xdr:row>58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74C4BA-470B-710F-9712-40C1D26B4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2BB27-813A-4E2A-BCC0-D45CA7A23F58}">
  <dimension ref="A10:G66"/>
  <sheetViews>
    <sheetView showGridLines="0" tabSelected="1" zoomScale="110" zoomScaleNormal="110" workbookViewId="0">
      <selection activeCell="F17" sqref="F17"/>
    </sheetView>
  </sheetViews>
  <sheetFormatPr defaultColWidth="0" defaultRowHeight="15" x14ac:dyDescent="0.25"/>
  <cols>
    <col min="1" max="1" width="9.140625" customWidth="1"/>
    <col min="2" max="2" width="61.42578125" customWidth="1"/>
    <col min="3" max="3" width="18.85546875" bestFit="1" customWidth="1"/>
    <col min="4" max="4" width="16.140625" bestFit="1" customWidth="1"/>
    <col min="5" max="7" width="4.42578125" customWidth="1"/>
    <col min="8" max="8" width="6.7109375" customWidth="1"/>
    <col min="9" max="16384" width="9.140625" hidden="1"/>
  </cols>
  <sheetData>
    <row r="10" spans="2:4" ht="15.75" thickBot="1" x14ac:dyDescent="0.3"/>
    <row r="11" spans="2:4" ht="26.25" x14ac:dyDescent="0.25">
      <c r="B11" s="7" t="s">
        <v>15</v>
      </c>
      <c r="C11" s="8"/>
      <c r="D11" s="6"/>
    </row>
    <row r="12" spans="2:4" ht="17.25" x14ac:dyDescent="0.3">
      <c r="B12" s="12" t="s">
        <v>14</v>
      </c>
      <c r="C12" s="13"/>
      <c r="D12" s="14">
        <v>2000</v>
      </c>
    </row>
    <row r="13" spans="2:4" ht="17.25" x14ac:dyDescent="0.3">
      <c r="B13" s="15" t="s">
        <v>13</v>
      </c>
      <c r="C13" s="16"/>
      <c r="D13" s="17">
        <v>6.0000000000000001E-3</v>
      </c>
    </row>
    <row r="14" spans="2:4" ht="18" thickBot="1" x14ac:dyDescent="0.35">
      <c r="B14" s="18" t="s">
        <v>33</v>
      </c>
      <c r="C14" s="19"/>
      <c r="D14" s="54">
        <f>salario*30%</f>
        <v>600</v>
      </c>
    </row>
    <row r="15" spans="2:4" ht="15.75" thickBot="1" x14ac:dyDescent="0.3"/>
    <row r="16" spans="2:4" ht="30" customHeight="1" x14ac:dyDescent="0.25">
      <c r="B16" s="50" t="s">
        <v>5</v>
      </c>
      <c r="C16" s="51"/>
      <c r="D16" s="52"/>
    </row>
    <row r="17" spans="1:6" ht="18" customHeight="1" x14ac:dyDescent="0.3">
      <c r="B17" s="20" t="s">
        <v>0</v>
      </c>
      <c r="C17" s="21"/>
      <c r="D17" s="53">
        <v>200</v>
      </c>
    </row>
    <row r="18" spans="1:6" ht="18" customHeight="1" x14ac:dyDescent="0.3">
      <c r="B18" s="20" t="s">
        <v>1</v>
      </c>
      <c r="C18" s="21"/>
      <c r="D18" s="22">
        <v>5</v>
      </c>
    </row>
    <row r="19" spans="1:6" ht="18" customHeight="1" x14ac:dyDescent="0.3">
      <c r="B19" s="20" t="s">
        <v>2</v>
      </c>
      <c r="C19" s="21"/>
      <c r="D19" s="23">
        <v>1.0789999999999999E-2</v>
      </c>
    </row>
    <row r="20" spans="1:6" ht="18" customHeight="1" x14ac:dyDescent="0.3">
      <c r="B20" s="24" t="s">
        <v>4</v>
      </c>
      <c r="C20" s="25"/>
      <c r="D20" s="26">
        <f>FV(taxa_mensal,qtd_anos*12,aporte*-1)</f>
        <v>16755.382799697527</v>
      </c>
    </row>
    <row r="21" spans="1:6" ht="18" customHeight="1" thickBot="1" x14ac:dyDescent="0.35">
      <c r="B21" s="27" t="s">
        <v>3</v>
      </c>
      <c r="C21" s="28"/>
      <c r="D21" s="29">
        <f>patrimonio*rendimento_carteira</f>
        <v>100.53229679818516</v>
      </c>
    </row>
    <row r="22" spans="1:6" ht="15.75" thickBot="1" x14ac:dyDescent="0.3"/>
    <row r="23" spans="1:6" ht="39.75" customHeight="1" x14ac:dyDescent="0.25">
      <c r="B23" s="9" t="s">
        <v>11</v>
      </c>
      <c r="C23" s="10"/>
      <c r="D23" s="11" t="s">
        <v>12</v>
      </c>
      <c r="E23" s="5"/>
    </row>
    <row r="24" spans="1:6" ht="18" customHeight="1" x14ac:dyDescent="0.3">
      <c r="A24" s="1">
        <v>2</v>
      </c>
      <c r="B24" s="30" t="s">
        <v>6</v>
      </c>
      <c r="C24" s="31">
        <f>FV($D$19,$A24*12,$D$17*-1)</f>
        <v>5445.5254595290435</v>
      </c>
      <c r="D24" s="32">
        <f>C24*rendimento_carteira</f>
        <v>32.673152757174265</v>
      </c>
    </row>
    <row r="25" spans="1:6" ht="18" customHeight="1" x14ac:dyDescent="0.3">
      <c r="A25" s="1">
        <v>5</v>
      </c>
      <c r="B25" s="33" t="s">
        <v>10</v>
      </c>
      <c r="C25" s="34">
        <f>FV($D$19,$A25*12,$D$17*-1)</f>
        <v>16755.382799697527</v>
      </c>
      <c r="D25" s="35">
        <f>C25*rendimento_carteira</f>
        <v>100.53229679818516</v>
      </c>
    </row>
    <row r="26" spans="1:6" ht="18" customHeight="1" x14ac:dyDescent="0.3">
      <c r="A26" s="1">
        <v>10</v>
      </c>
      <c r="B26" s="33" t="s">
        <v>7</v>
      </c>
      <c r="C26" s="34">
        <f>FV($D$19,$A26*12,$D$17*-1)</f>
        <v>48656.842506034438</v>
      </c>
      <c r="D26" s="35">
        <f>C26*rendimento_carteira</f>
        <v>291.94105503620665</v>
      </c>
      <c r="F26" s="3"/>
    </row>
    <row r="27" spans="1:6" ht="18" customHeight="1" x14ac:dyDescent="0.3">
      <c r="A27" s="1">
        <v>20</v>
      </c>
      <c r="B27" s="33" t="s">
        <v>8</v>
      </c>
      <c r="C27" s="34">
        <f>FV($D$19,$A27*12,$D$17*-1)</f>
        <v>225039.68001941612</v>
      </c>
      <c r="D27" s="35">
        <f>C27*rendimento_carteira</f>
        <v>1350.2380801164968</v>
      </c>
    </row>
    <row r="28" spans="1:6" ht="18" customHeight="1" thickBot="1" x14ac:dyDescent="0.35">
      <c r="A28" s="1">
        <v>30</v>
      </c>
      <c r="B28" s="36" t="s">
        <v>9</v>
      </c>
      <c r="C28" s="37">
        <f>FV($D$19,$A28*12,$D$17*-1)</f>
        <v>864433.93100094295</v>
      </c>
      <c r="D28" s="38">
        <f>C28*rendimento_carteira</f>
        <v>5186.6035860056581</v>
      </c>
    </row>
    <row r="32" spans="1:6" x14ac:dyDescent="0.25">
      <c r="B32" s="39" t="s">
        <v>20</v>
      </c>
      <c r="C32" s="39" t="s">
        <v>17</v>
      </c>
      <c r="D32" s="39"/>
    </row>
    <row r="33" spans="2:4" x14ac:dyDescent="0.25">
      <c r="B33" t="s">
        <v>19</v>
      </c>
      <c r="C33" s="49">
        <f>aporte</f>
        <v>200</v>
      </c>
    </row>
    <row r="35" spans="2:4" x14ac:dyDescent="0.25">
      <c r="B35" s="43" t="s">
        <v>21</v>
      </c>
      <c r="C35" s="43" t="s">
        <v>23</v>
      </c>
      <c r="D35" s="43" t="s">
        <v>22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40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40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40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40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40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40">
        <f t="shared" si="0"/>
        <v>20</v>
      </c>
    </row>
    <row r="42" spans="2:4" x14ac:dyDescent="0.25">
      <c r="B42" s="41"/>
      <c r="C42" s="41"/>
      <c r="D42" s="4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</sheetData>
  <mergeCells count="11">
    <mergeCell ref="B12:C12"/>
    <mergeCell ref="B14:C14"/>
    <mergeCell ref="B13:C13"/>
    <mergeCell ref="B11:C11"/>
    <mergeCell ref="B16:C16"/>
    <mergeCell ref="B23:C23"/>
    <mergeCell ref="B17:C17"/>
    <mergeCell ref="B18:C18"/>
    <mergeCell ref="B19:C19"/>
    <mergeCell ref="B20:C20"/>
    <mergeCell ref="B21:C21"/>
  </mergeCells>
  <dataValidations count="1">
    <dataValidation type="list" allowBlank="1" showInputMessage="1" showErrorMessage="1" sqref="C32" xr:uid="{C5DDC41A-EB3D-412B-BAB6-76894374887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2B8B2-E1BC-42EF-A1C1-4F1D4345A18A}">
  <dimension ref="A2:H20"/>
  <sheetViews>
    <sheetView workbookViewId="0">
      <selection activeCell="D13" sqref="D13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4" max="4" width="9.140625" style="2"/>
    <col min="7" max="7" width="16.85546875" bestFit="1" customWidth="1"/>
    <col min="8" max="8" width="11.140625" bestFit="1" customWidth="1"/>
  </cols>
  <sheetData>
    <row r="2" spans="1:8" x14ac:dyDescent="0.25">
      <c r="A2" t="s">
        <v>31</v>
      </c>
      <c r="B2" t="s">
        <v>20</v>
      </c>
      <c r="C2" t="s">
        <v>21</v>
      </c>
      <c r="D2" s="2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6">
        <v>0.3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6">
        <v>0.5</v>
      </c>
      <c r="G4" s="39" t="s">
        <v>32</v>
      </c>
      <c r="H4" s="48">
        <f>VLOOKUP($G$4,A:D,4,FALSE)</f>
        <v>0.35</v>
      </c>
    </row>
    <row r="5" spans="1:8" x14ac:dyDescent="0.25">
      <c r="A5" t="str">
        <f t="shared" si="0"/>
        <v>Conservador-HIBRIDOS</v>
      </c>
      <c r="B5" t="s">
        <v>16</v>
      </c>
      <c r="C5" s="2" t="s">
        <v>26</v>
      </c>
      <c r="D5" s="46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6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6">
        <v>0</v>
      </c>
    </row>
    <row r="8" spans="1:8" ht="15.75" thickBot="1" x14ac:dyDescent="0.3">
      <c r="A8" s="44" t="str">
        <f t="shared" si="0"/>
        <v>Conservador-HOTELARIAS</v>
      </c>
      <c r="B8" s="44" t="s">
        <v>16</v>
      </c>
      <c r="C8" s="45" t="s">
        <v>29</v>
      </c>
      <c r="D8" s="47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6">
        <v>0.32</v>
      </c>
    </row>
    <row r="10" spans="1:8" x14ac:dyDescent="0.25">
      <c r="A10" t="str">
        <f t="shared" si="0"/>
        <v>Moderado-TIJOLO</v>
      </c>
      <c r="B10" t="s">
        <v>17</v>
      </c>
      <c r="C10" s="2" t="s">
        <v>25</v>
      </c>
      <c r="D10" s="46">
        <v>0.35</v>
      </c>
    </row>
    <row r="11" spans="1:8" x14ac:dyDescent="0.25">
      <c r="A11" t="str">
        <f t="shared" si="0"/>
        <v>Moderado-HIBRIDOS</v>
      </c>
      <c r="B11" t="s">
        <v>17</v>
      </c>
      <c r="C11" s="2" t="s">
        <v>26</v>
      </c>
      <c r="D11" s="46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6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6">
        <v>0.1</v>
      </c>
    </row>
    <row r="14" spans="1:8" ht="15.75" thickBot="1" x14ac:dyDescent="0.3">
      <c r="A14" s="44" t="str">
        <f t="shared" si="0"/>
        <v>Moderado-HOTELARIAS</v>
      </c>
      <c r="B14" s="44" t="s">
        <v>17</v>
      </c>
      <c r="C14" s="45" t="s">
        <v>29</v>
      </c>
      <c r="D14" s="47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6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6">
        <v>0.1</v>
      </c>
    </row>
    <row r="17" spans="1:4" x14ac:dyDescent="0.25">
      <c r="A17" t="str">
        <f t="shared" si="0"/>
        <v>Agressivo-HIBRIDOS</v>
      </c>
      <c r="B17" t="s">
        <v>18</v>
      </c>
      <c r="C17" s="2" t="s">
        <v>26</v>
      </c>
      <c r="D17" s="46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6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6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eldo souza</dc:creator>
  <cp:lastModifiedBy>eldo souza</cp:lastModifiedBy>
  <dcterms:created xsi:type="dcterms:W3CDTF">2026-09-19T20:06:38Z</dcterms:created>
  <dcterms:modified xsi:type="dcterms:W3CDTF">2026-09-20T00:12:18Z</dcterms:modified>
</cp:coreProperties>
</file>